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ar-shop-projects\car-shop-crm\"/>
    </mc:Choice>
  </mc:AlternateContent>
  <xr:revisionPtr revIDLastSave="0" documentId="8_{BE3B195E-5501-4BDD-9868-6E92F686D691}" xr6:coauthVersionLast="47" xr6:coauthVersionMax="47" xr10:uidLastSave="{00000000-0000-0000-0000-000000000000}"/>
  <bookViews>
    <workbookView xWindow="1600" yWindow="910" windowWidth="16180" windowHeight="9180" activeTab="1" xr2:uid="{37B91F95-50B9-0445-B5F6-14F83EB95CBB}"/>
  </bookViews>
  <sheets>
    <sheet name="報價單S尺寸" sheetId="7" r:id="rId1"/>
    <sheet name="報價單Ｍ尺寸" sheetId="6" r:id="rId2"/>
    <sheet name="報價單L尺寸" sheetId="8" r:id="rId3"/>
    <sheet name="報價單XL尺寸" sheetId="5" r:id="rId4"/>
    <sheet name="報價單2XL尺寸" sheetId="1" r:id="rId5"/>
    <sheet name="套裝" sheetId="2" r:id="rId6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E16" i="1"/>
  <c r="G16" i="1" s="1"/>
  <c r="G15" i="1"/>
  <c r="F15" i="1"/>
  <c r="E15" i="1"/>
  <c r="F14" i="1"/>
  <c r="E14" i="1"/>
  <c r="G14" i="1" s="1"/>
  <c r="F13" i="1"/>
  <c r="E13" i="1"/>
  <c r="G13" i="1" s="1"/>
  <c r="F12" i="1"/>
  <c r="E12" i="1"/>
  <c r="G12" i="1" s="1"/>
  <c r="G11" i="1"/>
  <c r="F11" i="1"/>
  <c r="E11" i="1"/>
  <c r="F10" i="1"/>
  <c r="E10" i="1"/>
  <c r="G10" i="1" s="1"/>
  <c r="F9" i="1"/>
  <c r="E9" i="1"/>
  <c r="G9" i="1" s="1"/>
  <c r="F8" i="1"/>
  <c r="E8" i="1"/>
  <c r="G8" i="1" s="1"/>
  <c r="F7" i="1"/>
  <c r="E7" i="1"/>
  <c r="G7" i="1" s="1"/>
  <c r="G6" i="1"/>
  <c r="F6" i="1"/>
  <c r="E6" i="1"/>
  <c r="F5" i="1"/>
  <c r="E5" i="1"/>
  <c r="G5" i="1" s="1"/>
  <c r="F4" i="1"/>
  <c r="E4" i="1"/>
  <c r="G4" i="1" s="1"/>
  <c r="F3" i="1"/>
  <c r="E3" i="1"/>
  <c r="G3" i="1" s="1"/>
  <c r="F16" i="5"/>
  <c r="E16" i="5"/>
  <c r="G16" i="5" s="1"/>
  <c r="G15" i="5"/>
  <c r="F15" i="5"/>
  <c r="E15" i="5"/>
  <c r="F14" i="5"/>
  <c r="E14" i="5"/>
  <c r="G14" i="5" s="1"/>
  <c r="F13" i="5"/>
  <c r="E13" i="5"/>
  <c r="G13" i="5" s="1"/>
  <c r="F12" i="5"/>
  <c r="E12" i="5"/>
  <c r="G12" i="5" s="1"/>
  <c r="G11" i="5"/>
  <c r="F11" i="5"/>
  <c r="E11" i="5"/>
  <c r="G10" i="5"/>
  <c r="F10" i="5"/>
  <c r="E10" i="5"/>
  <c r="F9" i="5"/>
  <c r="E9" i="5"/>
  <c r="G9" i="5" s="1"/>
  <c r="F8" i="5"/>
  <c r="E8" i="5"/>
  <c r="G8" i="5" s="1"/>
  <c r="F7" i="5"/>
  <c r="E7" i="5"/>
  <c r="G7" i="5" s="1"/>
  <c r="F6" i="5"/>
  <c r="E6" i="5"/>
  <c r="G6" i="5" s="1"/>
  <c r="F5" i="5"/>
  <c r="E5" i="5"/>
  <c r="G5" i="5" s="1"/>
  <c r="F4" i="5"/>
  <c r="E4" i="5"/>
  <c r="G4" i="5" s="1"/>
  <c r="F3" i="5"/>
  <c r="E3" i="5"/>
  <c r="G3" i="5" s="1"/>
  <c r="F16" i="8"/>
  <c r="E16" i="8"/>
  <c r="G16" i="8" s="1"/>
  <c r="F15" i="8"/>
  <c r="E15" i="8"/>
  <c r="G15" i="8" s="1"/>
  <c r="F14" i="8"/>
  <c r="E14" i="8"/>
  <c r="G14" i="8" s="1"/>
  <c r="F13" i="8"/>
  <c r="E13" i="8"/>
  <c r="G13" i="8" s="1"/>
  <c r="F12" i="8"/>
  <c r="E12" i="8"/>
  <c r="G12" i="8" s="1"/>
  <c r="G11" i="8"/>
  <c r="F11" i="8"/>
  <c r="E11" i="8"/>
  <c r="G10" i="8"/>
  <c r="F10" i="8"/>
  <c r="E10" i="8"/>
  <c r="F9" i="8"/>
  <c r="E9" i="8"/>
  <c r="G9" i="8" s="1"/>
  <c r="F8" i="8"/>
  <c r="E8" i="8"/>
  <c r="G8" i="8" s="1"/>
  <c r="F7" i="8"/>
  <c r="E7" i="8"/>
  <c r="G7" i="8" s="1"/>
  <c r="G6" i="8"/>
  <c r="F6" i="8"/>
  <c r="E6" i="8"/>
  <c r="G5" i="8"/>
  <c r="F5" i="8"/>
  <c r="E5" i="8"/>
  <c r="F4" i="8"/>
  <c r="E4" i="8"/>
  <c r="G4" i="8" s="1"/>
  <c r="F3" i="8"/>
  <c r="E3" i="8"/>
  <c r="G3" i="8" s="1"/>
  <c r="G16" i="7"/>
  <c r="F16" i="7"/>
  <c r="E16" i="7"/>
  <c r="F15" i="7"/>
  <c r="E15" i="7"/>
  <c r="G15" i="7" s="1"/>
  <c r="F14" i="7"/>
  <c r="E14" i="7"/>
  <c r="G14" i="7" s="1"/>
  <c r="F13" i="7"/>
  <c r="E13" i="7"/>
  <c r="G13" i="7" s="1"/>
  <c r="F12" i="7"/>
  <c r="E12" i="7"/>
  <c r="G12" i="7" s="1"/>
  <c r="G11" i="7"/>
  <c r="F11" i="7"/>
  <c r="E11" i="7"/>
  <c r="F10" i="7"/>
  <c r="E10" i="7"/>
  <c r="G10" i="7" s="1"/>
  <c r="F9" i="7"/>
  <c r="E9" i="7"/>
  <c r="G9" i="7" s="1"/>
  <c r="F8" i="7"/>
  <c r="E8" i="7"/>
  <c r="G8" i="7" s="1"/>
  <c r="F7" i="7"/>
  <c r="E7" i="7"/>
  <c r="G7" i="7" s="1"/>
  <c r="G6" i="7"/>
  <c r="F6" i="7"/>
  <c r="E6" i="7"/>
  <c r="F5" i="7"/>
  <c r="E5" i="7"/>
  <c r="G5" i="7" s="1"/>
  <c r="F4" i="7"/>
  <c r="E4" i="7"/>
  <c r="G4" i="7" s="1"/>
  <c r="F3" i="7"/>
  <c r="E3" i="7"/>
  <c r="G3" i="7" s="1"/>
  <c r="F16" i="6"/>
  <c r="E16" i="6"/>
  <c r="G16" i="6" s="1"/>
  <c r="F15" i="6"/>
  <c r="E15" i="6"/>
  <c r="G15" i="6" s="1"/>
  <c r="F14" i="6"/>
  <c r="E14" i="6"/>
  <c r="G14" i="6" s="1"/>
  <c r="F13" i="6"/>
  <c r="E13" i="6"/>
  <c r="G13" i="6" s="1"/>
  <c r="F12" i="6"/>
  <c r="E12" i="6"/>
  <c r="G12" i="6" s="1"/>
  <c r="F11" i="6"/>
  <c r="E11" i="6"/>
  <c r="G11" i="6" s="1"/>
  <c r="F10" i="6"/>
  <c r="E10" i="6"/>
  <c r="G10" i="6" s="1"/>
  <c r="F9" i="6"/>
  <c r="E9" i="6"/>
  <c r="G9" i="6" s="1"/>
  <c r="F8" i="6"/>
  <c r="E8" i="6"/>
  <c r="G8" i="6" s="1"/>
  <c r="F7" i="6"/>
  <c r="E7" i="6"/>
  <c r="G7" i="6" s="1"/>
  <c r="F6" i="6"/>
  <c r="E6" i="6"/>
  <c r="G6" i="6" s="1"/>
  <c r="F5" i="6"/>
  <c r="E5" i="6"/>
  <c r="G5" i="6" s="1"/>
  <c r="F4" i="6"/>
  <c r="E4" i="6"/>
  <c r="G4" i="6" s="1"/>
  <c r="F3" i="6"/>
  <c r="E3" i="6"/>
  <c r="G3" i="6" s="1"/>
  <c r="B23" i="2" l="1"/>
  <c r="B29" i="2"/>
  <c r="B17" i="2"/>
  <c r="B11" i="2"/>
  <c r="B5" i="2"/>
  <c r="B22" i="2"/>
  <c r="B27" i="2"/>
  <c r="B28" i="2" s="1"/>
  <c r="B21" i="2"/>
  <c r="B15" i="2"/>
  <c r="B16" i="2"/>
  <c r="B9" i="2"/>
  <c r="B10" i="2" s="1"/>
  <c r="B4" i="2"/>
</calcChain>
</file>

<file path=xl/sharedStrings.xml><?xml version="1.0" encoding="utf-8"?>
<sst xmlns="http://schemas.openxmlformats.org/spreadsheetml/2006/main" count="280" uniqueCount="62">
  <si>
    <t>項目</t>
    <phoneticPr fontId="1" type="noConversion"/>
  </si>
  <si>
    <t>明細</t>
    <phoneticPr fontId="1" type="noConversion"/>
  </si>
  <si>
    <t>N</t>
    <phoneticPr fontId="1" type="noConversion"/>
  </si>
  <si>
    <t>S</t>
    <phoneticPr fontId="1" type="noConversion"/>
  </si>
  <si>
    <t>SR</t>
    <phoneticPr fontId="1" type="noConversion"/>
  </si>
  <si>
    <t>UR</t>
    <phoneticPr fontId="1" type="noConversion"/>
  </si>
  <si>
    <t>滿額升級會員</t>
    <phoneticPr fontId="1" type="noConversion"/>
  </si>
  <si>
    <t>10000（95折)</t>
    <phoneticPr fontId="1" type="noConversion"/>
  </si>
  <si>
    <t>20000（9折)</t>
    <phoneticPr fontId="1" type="noConversion"/>
  </si>
  <si>
    <t>50000（8折)</t>
    <phoneticPr fontId="1" type="noConversion"/>
  </si>
  <si>
    <t>經典洗</t>
    <phoneticPr fontId="1" type="noConversion"/>
  </si>
  <si>
    <t>| 含輪框內框、內裝基本清潔擦拭</t>
    <phoneticPr fontId="1" type="noConversion"/>
  </si>
  <si>
    <r>
      <rPr>
        <sz val="12"/>
        <color theme="1"/>
        <rFont val="Apple Color Emoji"/>
      </rPr>
      <t>🧼</t>
    </r>
    <r>
      <rPr>
        <sz val="12"/>
        <color theme="1"/>
        <rFont val="蘭亭黑-簡 中黑 "/>
        <charset val="134"/>
      </rPr>
      <t xml:space="preserve"> 精緻洗車（含內裝清潔）
內外同步清潔，維持整體使用舒適與車況整潔
服務流程： 
車況初步檢查，評估污染與表面狀態
高壓預洗，去除砂石降低接觸刮傷風險
中性泡沫覆蓋，溫和分解油污與灰塵
分區手工清洗，避免髒污交叉污染
細節刷洗（車縫 / 飾條 / Logo / 門框）
輪框與輪弧清潔，去除煞車粉塵堆積
低壓沖洗收尾，避免殘留水痕
專用擦拭布乾燥，提升表面均勻度
內裝吸塵清潔（座椅 / 地毯 / 行李箱）
內裝表面擦拭（中控 / 門板 / 儀表）
冷氣出風口與細節清潔
玻璃內側清潔，提升行車視野</t>
    </r>
    <phoneticPr fontId="1" type="noConversion"/>
  </si>
  <si>
    <t>光澤整備</t>
    <phoneticPr fontId="1" type="noConversion"/>
  </si>
  <si>
    <t>| 經典洗＋膜面漆面保養維護</t>
    <phoneticPr fontId="1" type="noConversion"/>
  </si>
  <si>
    <t>🛡️ 貼膜、鍍膜保養（維護型）
針對已施工貼膜或鍍膜車輛，進行日常維護保養，延長保護層效果與使用壽命
服務流程：
表面狀態檢查（膜面 / 鍍膜層完整性）
精緻清潔處理（同精緻洗車流程）
使用專用保養藥劑進行表面養護
均勻塗佈保養層，維持撥水與抗污效果
細節區域調整（接縫 / 邊角）
成品檢查與保養建議說明</t>
    <phoneticPr fontId="1" type="noConversion"/>
  </si>
  <si>
    <t>深層特勤</t>
    <phoneticPr fontId="1" type="noConversion"/>
  </si>
  <si>
    <t>| 經典洗＋漆面深層去污</t>
    <phoneticPr fontId="1" type="noConversion"/>
  </si>
  <si>
    <r>
      <rPr>
        <sz val="12"/>
        <color theme="1"/>
        <rFont val="Apple Color Emoji"/>
      </rPr>
      <t>🧴</t>
    </r>
    <r>
      <rPr>
        <sz val="12"/>
        <color theme="1"/>
        <rFont val="蘭亭黑-簡 中黑 "/>
        <charset val="134"/>
      </rPr>
      <t xml:space="preserve"> 漆面深層去污
清除漆面累積污染物，恢復表面乾淨狀態
服務流程：
精緻清潔處理（同精緻洗車流程）
污染類型判斷（鐵粉 / 柏油 / 水垢）
鐵粉溶解處理，避免長期氧化侵蝕
柏油與油污去除
水垢與水斑處理，改善白霧現象
細節區域強化清潔
表面中和與收尾</t>
    </r>
    <phoneticPr fontId="1" type="noConversion"/>
  </si>
  <si>
    <t>膜淨行動</t>
    <phoneticPr fontId="1" type="noConversion"/>
  </si>
  <si>
    <t>| 經典洗＋膜面深層去污</t>
    <phoneticPr fontId="1" type="noConversion"/>
  </si>
  <si>
    <r>
      <rPr>
        <sz val="12"/>
        <color theme="1"/>
        <rFont val="Apple Color Emoji"/>
      </rPr>
      <t>🧩</t>
    </r>
    <r>
      <rPr>
        <sz val="12"/>
        <color theme="1"/>
        <rFont val="蘭亭黑-簡 中黑 "/>
        <charset val="134"/>
      </rPr>
      <t xml:space="preserve"> 膜面深層去污（</t>
    </r>
    <r>
      <rPr>
        <sz val="12"/>
        <color theme="1"/>
        <rFont val="Apple Color Emoji"/>
      </rPr>
      <t>⭐</t>
    </r>
    <r>
      <rPr>
        <sz val="12"/>
        <color theme="1"/>
        <rFont val="蘭亭黑-簡 中黑 "/>
        <charset val="134"/>
      </rPr>
      <t>主打）
針對貼膜車專用，清除膜面污染並維持質感
服務流程：
精緻清潔處理（同精緻洗車流程）
膜面狀態評估（污染 / 老化 / 染色）
污染分類處理（避免錯誤藥劑傷膜）
低侵入性清潔，維持膜料完整性
邊角與接縫細節處理
表面質感調整（均勻度 / 霧感）
後續維護建議</t>
    </r>
    <phoneticPr fontId="1" type="noConversion"/>
  </si>
  <si>
    <t>鏡透打底Lv.1</t>
    <phoneticPr fontId="1" type="noConversion"/>
  </si>
  <si>
    <t>| 經典洗＋淺層拋光（提亮、去污、去水垢）＋季效型鍍膜</t>
    <phoneticPr fontId="1" type="noConversion"/>
  </si>
  <si>
    <t>鏡透打底Lv.2</t>
    <phoneticPr fontId="1" type="noConversion"/>
  </si>
  <si>
    <t>| 經典洗＋深層拋光（提亮、去污、去水垢、太陽紋細紋修復）＋季效型鍍膜</t>
    <phoneticPr fontId="1" type="noConversion"/>
  </si>
  <si>
    <t>✨ 拋光保養
改善細紋與表面缺陷，提升整體光澤表現
服務流程：
精緻清潔處理（同精緻洗車流程）
漆面厚度與狀況評估
缺陷分析（細紋 / 太陽紋 / 氧化）
依等級進行研磨處理
細紋修復與表面平整化
光澤均化處理
收尾檢查與修正</t>
    <phoneticPr fontId="1" type="noConversion"/>
  </si>
  <si>
    <t>膜車專護方案</t>
    <phoneticPr fontId="1" type="noConversion"/>
  </si>
  <si>
    <t>| 貼膜車專屬結晶鍍膜</t>
    <phoneticPr fontId="1" type="noConversion"/>
  </si>
  <si>
    <r>
      <rPr>
        <sz val="12"/>
        <color theme="1"/>
        <rFont val="Apple Color Emoji"/>
      </rPr>
      <t>🛡️</t>
    </r>
    <r>
      <rPr>
        <sz val="12"/>
        <color theme="1"/>
        <rFont val="蘭亭黑-簡 中黑 "/>
        <charset val="134"/>
      </rPr>
      <t xml:space="preserve"> 貼膜後鍍膜維護保養（雙層保護系統）
針對已施工貼膜並搭配鍍膜之車輛，進行定期維護保養，維持雙層保護效果與外觀穩定性
服務流程：
表面狀態檢查
評估膜面與鍍膜層狀態（撥水性 / 污染附著 / 使用痕跡）
精緻清潔處理
依貼膜車專用流程進行低侵入性清潔，避免影響膜面與鍍膜層
鍍膜層養護補強
使用專用保養藥劑補強表面保護層，維持撥水與抗污效果
膜面質感調整
改善因使用產生的輕微霧感或不均現象
細節區域處理
包含收邊、接縫與邊角位置清潔與調整
成品檢查與保養建議
提供後續清潔與保養方式，延長整體使用壽命</t>
    </r>
    <phoneticPr fontId="1" type="noConversion"/>
  </si>
  <si>
    <t>S1單層護盾</t>
    <phoneticPr fontId="1" type="noConversion"/>
  </si>
  <si>
    <t>| SF結晶鍍膜（單層）含玻璃鍍膜、塑料件鍍膜</t>
    <phoneticPr fontId="1" type="noConversion"/>
  </si>
  <si>
    <t>🛡️ 基礎鍍膜（單層）
建立基礎保護層，降低髒污附著
服務流程：
精緻清潔處理（同精緻洗車流程）
表面清潔與去污處理
必要時進行輕度拋光調整
鍍膜塗佈施工
表面固化處理
成品檢查與效果確認</t>
    <phoneticPr fontId="1" type="noConversion"/>
  </si>
  <si>
    <t>S1雙層護盾</t>
    <phoneticPr fontId="1" type="noConversion"/>
  </si>
  <si>
    <t>| SF結晶鍍膜（雙層）含玻璃鍍膜、塑料件鍍膜</t>
    <phoneticPr fontId="1" type="noConversion"/>
  </si>
  <si>
    <t>🛡️ 基礎鍍膜（雙層）
提升保護厚度與耐久性
服務流程：
精緻清潔處理（同精緻洗車流程）
完整前置清潔與表面調整
第一層鍍膜施工（基礎附著）
第二層加強塗佈（提升耐久與效果）
固化處理
表面檢查與修正</t>
    <phoneticPr fontId="1" type="noConversion"/>
  </si>
  <si>
    <t>S2單層護盾</t>
    <phoneticPr fontId="1" type="noConversion"/>
  </si>
  <si>
    <t>| CarPro結晶鍍膜（單層）含玻璃鍍膜、塑料件鍍膜</t>
    <phoneticPr fontId="1" type="noConversion"/>
  </si>
  <si>
    <t>S2雙層護盾</t>
    <phoneticPr fontId="1" type="noConversion"/>
  </si>
  <si>
    <t>| CarPro結晶鍍膜（雙層）含玻璃鍍膜、塑料件鍍膜</t>
    <phoneticPr fontId="1" type="noConversion"/>
  </si>
  <si>
    <t>視界強化</t>
    <phoneticPr fontId="1" type="noConversion"/>
  </si>
  <si>
    <t>| 全車玻璃鍍膜（含除油墨）</t>
    <phoneticPr fontId="1" type="noConversion"/>
  </si>
  <si>
    <t>🪟 玻璃鍍膜
提升撥水效果與行車視野安全
服務流程：
玻璃油膜與污染去除
表面清潔與脫脂處理
鍍膜塗佈
固化處理
撥水效果確認</t>
    <phoneticPr fontId="1" type="noConversion"/>
  </si>
  <si>
    <t>鋁圈守護</t>
    <phoneticPr fontId="1" type="noConversion"/>
  </si>
  <si>
    <t>| 全車鋁圈鍍膜（輪圈表面）</t>
    <phoneticPr fontId="1" type="noConversion"/>
  </si>
  <si>
    <t>🛞 鋁圈鍍膜
降低煞車粉塵附著，提升清潔效率
服務流程：
輪框深層清潔與除鐵粉
表面脫脂處理
鍍膜塗佈
固化與保護層形成</t>
    <phoneticPr fontId="1" type="noConversion"/>
  </si>
  <si>
    <t>視界去污</t>
    <phoneticPr fontId="1" type="noConversion"/>
  </si>
  <si>
    <t>| 前擋除油墨</t>
    <phoneticPr fontId="1" type="noConversion"/>
  </si>
  <si>
    <t>🪟 前擋除油膜
改善雨天視線與玻璃清晰度
服務流程：
油膜與污染層去除
玻璃表面整平處理
清潔與收尾
視線清晰度確認</t>
    <phoneticPr fontId="1" type="noConversion"/>
  </si>
  <si>
    <t>貼膜深層清潔套組</t>
    <phoneticPr fontId="1" type="noConversion"/>
  </si>
  <si>
    <t>膜面深層去污</t>
    <phoneticPr fontId="1" type="noConversion"/>
  </si>
  <si>
    <t>貼膜後鍍膜</t>
    <phoneticPr fontId="1" type="noConversion"/>
  </si>
  <si>
    <t>原價</t>
    <phoneticPr fontId="1" type="noConversion"/>
  </si>
  <si>
    <t>優惠</t>
    <phoneticPr fontId="1" type="noConversion"/>
  </si>
  <si>
    <t>基礎度膜＋四次保養套組</t>
    <phoneticPr fontId="1" type="noConversion"/>
  </si>
  <si>
    <t>基礎鍍膜（單層）</t>
    <phoneticPr fontId="1" type="noConversion"/>
  </si>
  <si>
    <t>鍍膜保養（四次）</t>
    <phoneticPr fontId="1" type="noConversion"/>
  </si>
  <si>
    <t>基礎度膜＋十二次保養套組</t>
    <phoneticPr fontId="1" type="noConversion"/>
  </si>
  <si>
    <t>鍍膜保養（十二次）</t>
    <phoneticPr fontId="1" type="noConversion"/>
  </si>
  <si>
    <t>雙層度膜＋四次保養套組</t>
    <phoneticPr fontId="1" type="noConversion"/>
  </si>
  <si>
    <t>精緻鍍膜（雙層）</t>
    <phoneticPr fontId="1" type="noConversion"/>
  </si>
  <si>
    <t>雙礎度膜＋十二次保養套組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</si>
</sst>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&quot;$&quot;* #,##0.00_);_(&quot;$&quot;* \(#,##0.00\);_(&quot;$&quot;* &quot;-&quot;??_);_(@_)"/>
    <numFmt numFmtId="177" formatCode="_(&quot;$&quot;* #,##0_);_(&quot;$&quot;* \(#,##0\);_(&quot;$&quot;* &quot;-&quot;??_);_(@_)"/>
  </numFmts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蘭亭黑-簡 中黑 "/>
      <charset val="134"/>
    </font>
    <font>
      <sz val="12"/>
      <color theme="1"/>
      <name val="Apple Color Emoji"/>
    </font>
    <font>
      <sz val="12"/>
      <color theme="1"/>
      <name val="新細明體"/>
      <family val="2"/>
      <charset val="136"/>
      <scheme val="minor"/>
    </font>
    <font>
      <sz val="14"/>
      <color theme="1"/>
      <name val="蘭亭黑-簡 中黑 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177" fontId="5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2">
    <cellStyle name="一般" xfId="0" builtinId="0"/>
    <cellStyle name="貨幣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50A13-2147-DF4D-87F8-77863B7A27DA}">
  <dimension ref="A1:G17"/>
  <sheetViews>
    <sheetView topLeftCell="A13" zoomScale="50" workbookViewId="0">
      <selection activeCell="I3" sqref="I3"/>
    </sheetView>
  </sheetViews>
  <sheetFormatPr defaultColWidth="51.6328125" defaultRowHeight="17.5"/>
  <cols>
    <col min="1" max="1" width="36.6328125" style="6" customWidth="1"/>
    <col min="2" max="2" width="65.453125" style="6" customWidth="1"/>
    <col min="3" max="3" width="51.6328125" style="1"/>
    <col min="4" max="7" width="20.36328125" style="4" customWidth="1"/>
    <col min="8" max="8" width="20.36328125" style="1" customWidth="1"/>
    <col min="9" max="16384" width="51.6328125" style="1"/>
  </cols>
  <sheetData>
    <row r="1" spans="1:7">
      <c r="A1" s="6" t="s">
        <v>0</v>
      </c>
      <c r="C1" s="1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ht="71.150000000000006" customHeight="1">
      <c r="C2" s="1" t="s">
        <v>6</v>
      </c>
      <c r="E2" s="4" t="s">
        <v>7</v>
      </c>
      <c r="F2" s="4" t="s">
        <v>8</v>
      </c>
      <c r="G2" s="4" t="s">
        <v>9</v>
      </c>
    </row>
    <row r="3" spans="1:7" ht="290.14999999999998" customHeight="1">
      <c r="A3" s="6" t="s">
        <v>10</v>
      </c>
      <c r="B3" s="6" t="s">
        <v>11</v>
      </c>
      <c r="C3" s="2" t="s">
        <v>12</v>
      </c>
      <c r="D3" s="5">
        <v>1800</v>
      </c>
      <c r="E3" s="5">
        <f>D3*0.95</f>
        <v>1710</v>
      </c>
      <c r="F3" s="5">
        <f>D3*0.9</f>
        <v>1620</v>
      </c>
      <c r="G3" s="5">
        <f>E3*0.8</f>
        <v>1368</v>
      </c>
    </row>
    <row r="4" spans="1:7" ht="191.15" customHeight="1">
      <c r="A4" s="6" t="s">
        <v>13</v>
      </c>
      <c r="B4" s="6" t="s">
        <v>14</v>
      </c>
      <c r="C4" s="2" t="s">
        <v>15</v>
      </c>
      <c r="D4" s="5">
        <v>2200</v>
      </c>
      <c r="E4" s="5">
        <f>D4*0.95</f>
        <v>2090</v>
      </c>
      <c r="F4" s="5">
        <f>D4*0.9</f>
        <v>1980</v>
      </c>
      <c r="G4" s="5">
        <f t="shared" ref="G4:G16" si="0">E4*0.8</f>
        <v>1672</v>
      </c>
    </row>
    <row r="5" spans="1:7" ht="188.15" customHeight="1">
      <c r="A5" s="6" t="s">
        <v>16</v>
      </c>
      <c r="B5" s="6" t="s">
        <v>17</v>
      </c>
      <c r="C5" s="2" t="s">
        <v>18</v>
      </c>
      <c r="D5" s="5">
        <v>2500</v>
      </c>
      <c r="E5" s="5">
        <f>D5*0.95</f>
        <v>2375</v>
      </c>
      <c r="F5" s="5">
        <f>D5*0.9</f>
        <v>2250</v>
      </c>
      <c r="G5" s="5">
        <f t="shared" si="0"/>
        <v>1900</v>
      </c>
    </row>
    <row r="6" spans="1:7" ht="190" customHeight="1">
      <c r="A6" s="6" t="s">
        <v>19</v>
      </c>
      <c r="B6" s="6" t="s">
        <v>20</v>
      </c>
      <c r="C6" s="2" t="s">
        <v>21</v>
      </c>
      <c r="D6" s="5">
        <v>9500</v>
      </c>
      <c r="E6" s="5">
        <f>D6*0.95</f>
        <v>9025</v>
      </c>
      <c r="F6" s="5">
        <f>D6*0.9</f>
        <v>8550</v>
      </c>
      <c r="G6" s="5">
        <f t="shared" si="0"/>
        <v>7220</v>
      </c>
    </row>
    <row r="7" spans="1:7" ht="190" customHeight="1">
      <c r="A7" s="6" t="s">
        <v>22</v>
      </c>
      <c r="B7" s="6" t="s">
        <v>23</v>
      </c>
      <c r="C7" s="2"/>
      <c r="D7" s="5">
        <v>7000</v>
      </c>
      <c r="E7" s="5">
        <f>D7*0.95</f>
        <v>6650</v>
      </c>
      <c r="F7" s="5">
        <f>D7*0.9</f>
        <v>6300</v>
      </c>
      <c r="G7" s="5">
        <f t="shared" si="0"/>
        <v>5320</v>
      </c>
    </row>
    <row r="8" spans="1:7" ht="192" customHeight="1">
      <c r="A8" s="6" t="s">
        <v>24</v>
      </c>
      <c r="B8" s="6" t="s">
        <v>25</v>
      </c>
      <c r="C8" s="2" t="s">
        <v>26</v>
      </c>
      <c r="D8" s="5">
        <v>10000</v>
      </c>
      <c r="E8" s="5">
        <f t="shared" ref="E8:E16" si="1">D8*0.95</f>
        <v>9500</v>
      </c>
      <c r="F8" s="5">
        <f t="shared" ref="F8:F16" si="2">D8*0.9</f>
        <v>9000</v>
      </c>
      <c r="G8" s="5">
        <f t="shared" si="0"/>
        <v>7600</v>
      </c>
    </row>
    <row r="9" spans="1:7" ht="325" customHeight="1">
      <c r="A9" s="6" t="s">
        <v>27</v>
      </c>
      <c r="B9" s="6" t="s">
        <v>28</v>
      </c>
      <c r="C9" s="2" t="s">
        <v>29</v>
      </c>
      <c r="D9" s="5">
        <v>8000</v>
      </c>
      <c r="E9" s="5">
        <f t="shared" si="1"/>
        <v>7600</v>
      </c>
      <c r="F9" s="5">
        <f t="shared" si="2"/>
        <v>7200</v>
      </c>
      <c r="G9" s="5">
        <f t="shared" si="0"/>
        <v>6080</v>
      </c>
    </row>
    <row r="10" spans="1:7" ht="176.15" customHeight="1">
      <c r="A10" s="6" t="s">
        <v>30</v>
      </c>
      <c r="B10" s="6" t="s">
        <v>31</v>
      </c>
      <c r="C10" s="2" t="s">
        <v>32</v>
      </c>
      <c r="D10" s="5">
        <v>16000</v>
      </c>
      <c r="E10" s="5">
        <f t="shared" si="1"/>
        <v>15200</v>
      </c>
      <c r="F10" s="5">
        <f t="shared" si="2"/>
        <v>14400</v>
      </c>
      <c r="G10" s="5">
        <f t="shared" si="0"/>
        <v>12160</v>
      </c>
    </row>
    <row r="11" spans="1:7" ht="176.15" customHeight="1">
      <c r="A11" s="6" t="s">
        <v>33</v>
      </c>
      <c r="B11" s="6" t="s">
        <v>34</v>
      </c>
      <c r="C11" s="2" t="s">
        <v>35</v>
      </c>
      <c r="D11" s="5">
        <v>20000</v>
      </c>
      <c r="E11" s="5">
        <f t="shared" si="1"/>
        <v>19000</v>
      </c>
      <c r="F11" s="5">
        <f t="shared" si="2"/>
        <v>18000</v>
      </c>
      <c r="G11" s="5">
        <f t="shared" si="0"/>
        <v>15200</v>
      </c>
    </row>
    <row r="12" spans="1:7" ht="176.15" customHeight="1">
      <c r="A12" s="6" t="s">
        <v>36</v>
      </c>
      <c r="B12" s="6" t="s">
        <v>37</v>
      </c>
      <c r="C12" s="2" t="s">
        <v>32</v>
      </c>
      <c r="D12" s="5">
        <v>22000</v>
      </c>
      <c r="E12" s="5">
        <f t="shared" si="1"/>
        <v>20900</v>
      </c>
      <c r="F12" s="5">
        <f t="shared" si="2"/>
        <v>19800</v>
      </c>
      <c r="G12" s="5">
        <f t="shared" si="0"/>
        <v>16720</v>
      </c>
    </row>
    <row r="13" spans="1:7" ht="176.15" customHeight="1">
      <c r="A13" s="6" t="s">
        <v>38</v>
      </c>
      <c r="B13" s="6" t="s">
        <v>39</v>
      </c>
      <c r="C13" s="2" t="s">
        <v>35</v>
      </c>
      <c r="D13" s="5">
        <v>26000</v>
      </c>
      <c r="E13" s="5">
        <f t="shared" si="1"/>
        <v>24700</v>
      </c>
      <c r="F13" s="5">
        <f t="shared" si="2"/>
        <v>23400</v>
      </c>
      <c r="G13" s="5">
        <f t="shared" si="0"/>
        <v>19760</v>
      </c>
    </row>
    <row r="14" spans="1:7" ht="159" customHeight="1">
      <c r="A14" s="6" t="s">
        <v>40</v>
      </c>
      <c r="B14" s="6" t="s">
        <v>41</v>
      </c>
      <c r="C14" s="2" t="s">
        <v>42</v>
      </c>
      <c r="D14" s="5">
        <v>4000</v>
      </c>
      <c r="E14" s="5">
        <f t="shared" si="1"/>
        <v>3800</v>
      </c>
      <c r="F14" s="5">
        <f t="shared" si="2"/>
        <v>3600</v>
      </c>
      <c r="G14" s="5">
        <f t="shared" si="0"/>
        <v>3040</v>
      </c>
    </row>
    <row r="15" spans="1:7" ht="143.15" customHeight="1">
      <c r="A15" s="6" t="s">
        <v>43</v>
      </c>
      <c r="B15" s="6" t="s">
        <v>44</v>
      </c>
      <c r="C15" s="2" t="s">
        <v>45</v>
      </c>
      <c r="D15" s="5">
        <v>3500</v>
      </c>
      <c r="E15" s="5">
        <f t="shared" si="1"/>
        <v>3325</v>
      </c>
      <c r="F15" s="5">
        <f t="shared" si="2"/>
        <v>3150</v>
      </c>
      <c r="G15" s="5">
        <f t="shared" si="0"/>
        <v>2660</v>
      </c>
    </row>
    <row r="16" spans="1:7" ht="140.15" customHeight="1">
      <c r="A16" s="6" t="s">
        <v>46</v>
      </c>
      <c r="B16" s="6" t="s">
        <v>47</v>
      </c>
      <c r="C16" s="2" t="s">
        <v>48</v>
      </c>
      <c r="D16" s="5">
        <v>500</v>
      </c>
      <c r="E16" s="5">
        <f t="shared" si="1"/>
        <v>475</v>
      </c>
      <c r="F16" s="5">
        <f t="shared" si="2"/>
        <v>450</v>
      </c>
      <c r="G16" s="5">
        <f t="shared" si="0"/>
        <v>380</v>
      </c>
    </row>
    <row r="17" ht="22" customHeight="1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E4D50-5434-E14A-8DBC-23E082016033}">
  <dimension ref="A1:G17"/>
  <sheetViews>
    <sheetView tabSelected="1" topLeftCell="A13" zoomScale="50" workbookViewId="0">
      <selection activeCell="A12" sqref="A12"/>
    </sheetView>
  </sheetViews>
  <sheetFormatPr defaultColWidth="51.6328125" defaultRowHeight="17.5"/>
  <cols>
    <col min="1" max="1" width="36.6328125" style="6" customWidth="1"/>
    <col min="2" max="2" width="65.453125" style="6" customWidth="1"/>
    <col min="3" max="3" width="51.6328125" style="1"/>
    <col min="4" max="7" width="20.36328125" style="4" customWidth="1"/>
    <col min="8" max="8" width="20.36328125" style="1" customWidth="1"/>
    <col min="9" max="16384" width="51.6328125" style="1"/>
  </cols>
  <sheetData>
    <row r="1" spans="1:7">
      <c r="A1" s="6" t="s">
        <v>0</v>
      </c>
      <c r="C1" s="1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ht="71.150000000000006" customHeight="1">
      <c r="C2" s="1" t="s">
        <v>6</v>
      </c>
      <c r="E2" s="4" t="s">
        <v>7</v>
      </c>
      <c r="F2" s="4" t="s">
        <v>8</v>
      </c>
      <c r="G2" s="4" t="s">
        <v>9</v>
      </c>
    </row>
    <row r="3" spans="1:7" ht="290.14999999999998" customHeight="1">
      <c r="A3" s="6" t="s">
        <v>10</v>
      </c>
      <c r="B3" s="6" t="s">
        <v>11</v>
      </c>
      <c r="C3" s="2" t="s">
        <v>12</v>
      </c>
      <c r="D3" s="5">
        <v>2000</v>
      </c>
      <c r="E3" s="5">
        <f>D3*0.95</f>
        <v>1900</v>
      </c>
      <c r="F3" s="5">
        <f>D3*0.9</f>
        <v>1800</v>
      </c>
      <c r="G3" s="5">
        <f>E3*0.8</f>
        <v>1520</v>
      </c>
    </row>
    <row r="4" spans="1:7" ht="191.15" customHeight="1">
      <c r="A4" s="6" t="s">
        <v>13</v>
      </c>
      <c r="B4" s="6" t="s">
        <v>14</v>
      </c>
      <c r="C4" s="2" t="s">
        <v>15</v>
      </c>
      <c r="D4" s="5">
        <v>2400</v>
      </c>
      <c r="E4" s="5">
        <f>D4*0.95</f>
        <v>2280</v>
      </c>
      <c r="F4" s="5">
        <f>D4*0.9</f>
        <v>2160</v>
      </c>
      <c r="G4" s="5">
        <f t="shared" ref="G4:G16" si="0">E4*0.8</f>
        <v>1824</v>
      </c>
    </row>
    <row r="5" spans="1:7" ht="188.15" customHeight="1">
      <c r="A5" s="6" t="s">
        <v>16</v>
      </c>
      <c r="B5" s="6" t="s">
        <v>17</v>
      </c>
      <c r="C5" s="2" t="s">
        <v>18</v>
      </c>
      <c r="D5" s="5">
        <v>3000</v>
      </c>
      <c r="E5" s="5">
        <f>D5*0.95</f>
        <v>2850</v>
      </c>
      <c r="F5" s="5">
        <f>D5*0.9</f>
        <v>2700</v>
      </c>
      <c r="G5" s="5">
        <f t="shared" si="0"/>
        <v>2280</v>
      </c>
    </row>
    <row r="6" spans="1:7" ht="190" customHeight="1">
      <c r="A6" s="6" t="s">
        <v>19</v>
      </c>
      <c r="B6" s="6" t="s">
        <v>20</v>
      </c>
      <c r="C6" s="2" t="s">
        <v>21</v>
      </c>
      <c r="D6" s="5">
        <v>10000</v>
      </c>
      <c r="E6" s="5">
        <f>D6*0.95</f>
        <v>9500</v>
      </c>
      <c r="F6" s="5">
        <f>D6*0.9</f>
        <v>9000</v>
      </c>
      <c r="G6" s="5">
        <f t="shared" si="0"/>
        <v>7600</v>
      </c>
    </row>
    <row r="7" spans="1:7" ht="190" customHeight="1">
      <c r="A7" s="6" t="s">
        <v>22</v>
      </c>
      <c r="B7" s="6" t="s">
        <v>23</v>
      </c>
      <c r="C7" s="2"/>
      <c r="D7" s="5">
        <v>7500</v>
      </c>
      <c r="E7" s="5">
        <f>D7*0.95</f>
        <v>7125</v>
      </c>
      <c r="F7" s="5">
        <f>D7*0.9</f>
        <v>6750</v>
      </c>
      <c r="G7" s="5">
        <f t="shared" si="0"/>
        <v>5700</v>
      </c>
    </row>
    <row r="8" spans="1:7" ht="192" customHeight="1">
      <c r="A8" s="6" t="s">
        <v>24</v>
      </c>
      <c r="B8" s="6" t="s">
        <v>25</v>
      </c>
      <c r="C8" s="2" t="s">
        <v>26</v>
      </c>
      <c r="D8" s="5">
        <v>11000</v>
      </c>
      <c r="E8" s="5">
        <f t="shared" ref="E8:E16" si="1">D8*0.95</f>
        <v>10450</v>
      </c>
      <c r="F8" s="5">
        <f t="shared" ref="F8:F16" si="2">D8*0.9</f>
        <v>9900</v>
      </c>
      <c r="G8" s="5">
        <f t="shared" si="0"/>
        <v>8360</v>
      </c>
    </row>
    <row r="9" spans="1:7" ht="325" customHeight="1">
      <c r="A9" s="6" t="s">
        <v>27</v>
      </c>
      <c r="B9" s="6" t="s">
        <v>28</v>
      </c>
      <c r="C9" s="2" t="s">
        <v>29</v>
      </c>
      <c r="D9" s="5">
        <v>9000</v>
      </c>
      <c r="E9" s="5">
        <f t="shared" si="1"/>
        <v>8550</v>
      </c>
      <c r="F9" s="5">
        <f t="shared" si="2"/>
        <v>8100</v>
      </c>
      <c r="G9" s="5">
        <f t="shared" si="0"/>
        <v>6840</v>
      </c>
    </row>
    <row r="10" spans="1:7" ht="176.15" customHeight="1">
      <c r="A10" s="6" t="s">
        <v>30</v>
      </c>
      <c r="B10" s="6" t="s">
        <v>31</v>
      </c>
      <c r="C10" s="2" t="s">
        <v>32</v>
      </c>
      <c r="D10" s="5">
        <v>17000</v>
      </c>
      <c r="E10" s="5">
        <f t="shared" si="1"/>
        <v>16150</v>
      </c>
      <c r="F10" s="5">
        <f t="shared" si="2"/>
        <v>15300</v>
      </c>
      <c r="G10" s="5">
        <f t="shared" si="0"/>
        <v>12920</v>
      </c>
    </row>
    <row r="11" spans="1:7" ht="176.15" customHeight="1">
      <c r="A11" s="6" t="s">
        <v>33</v>
      </c>
      <c r="B11" s="6" t="s">
        <v>34</v>
      </c>
      <c r="C11" s="2" t="s">
        <v>35</v>
      </c>
      <c r="D11" s="5">
        <v>21000</v>
      </c>
      <c r="E11" s="5">
        <f t="shared" si="1"/>
        <v>19950</v>
      </c>
      <c r="F11" s="5">
        <f t="shared" si="2"/>
        <v>18900</v>
      </c>
      <c r="G11" s="5">
        <f t="shared" si="0"/>
        <v>15960</v>
      </c>
    </row>
    <row r="12" spans="1:7" ht="176.15" customHeight="1">
      <c r="A12" s="6" t="s">
        <v>36</v>
      </c>
      <c r="B12" s="6" t="s">
        <v>37</v>
      </c>
      <c r="C12" s="2" t="s">
        <v>32</v>
      </c>
      <c r="D12" s="5">
        <v>23000</v>
      </c>
      <c r="E12" s="5">
        <f t="shared" si="1"/>
        <v>21850</v>
      </c>
      <c r="F12" s="5">
        <f t="shared" si="2"/>
        <v>20700</v>
      </c>
      <c r="G12" s="5">
        <f t="shared" si="0"/>
        <v>17480</v>
      </c>
    </row>
    <row r="13" spans="1:7" ht="176.15" customHeight="1">
      <c r="A13" s="6" t="s">
        <v>38</v>
      </c>
      <c r="B13" s="6" t="s">
        <v>39</v>
      </c>
      <c r="C13" s="2" t="s">
        <v>35</v>
      </c>
      <c r="D13" s="5">
        <v>27000</v>
      </c>
      <c r="E13" s="5">
        <f t="shared" si="1"/>
        <v>25650</v>
      </c>
      <c r="F13" s="5">
        <f t="shared" si="2"/>
        <v>24300</v>
      </c>
      <c r="G13" s="5">
        <f t="shared" si="0"/>
        <v>20520</v>
      </c>
    </row>
    <row r="14" spans="1:7" ht="159" customHeight="1">
      <c r="A14" s="6" t="s">
        <v>40</v>
      </c>
      <c r="B14" s="6" t="s">
        <v>41</v>
      </c>
      <c r="C14" s="2" t="s">
        <v>42</v>
      </c>
      <c r="D14" s="5">
        <v>4000</v>
      </c>
      <c r="E14" s="5">
        <f t="shared" si="1"/>
        <v>3800</v>
      </c>
      <c r="F14" s="5">
        <f t="shared" si="2"/>
        <v>3600</v>
      </c>
      <c r="G14" s="5">
        <f t="shared" si="0"/>
        <v>3040</v>
      </c>
    </row>
    <row r="15" spans="1:7" ht="143.15" customHeight="1">
      <c r="A15" s="6" t="s">
        <v>43</v>
      </c>
      <c r="B15" s="6" t="s">
        <v>44</v>
      </c>
      <c r="C15" s="2" t="s">
        <v>45</v>
      </c>
      <c r="D15" s="5">
        <v>3500</v>
      </c>
      <c r="E15" s="5">
        <f t="shared" si="1"/>
        <v>3325</v>
      </c>
      <c r="F15" s="5">
        <f t="shared" si="2"/>
        <v>3150</v>
      </c>
      <c r="G15" s="5">
        <f t="shared" si="0"/>
        <v>2660</v>
      </c>
    </row>
    <row r="16" spans="1:7" ht="140.15" customHeight="1">
      <c r="A16" s="6" t="s">
        <v>46</v>
      </c>
      <c r="B16" s="6" t="s">
        <v>47</v>
      </c>
      <c r="C16" s="2" t="s">
        <v>48</v>
      </c>
      <c r="D16" s="5">
        <v>500</v>
      </c>
      <c r="E16" s="5">
        <f t="shared" si="1"/>
        <v>475</v>
      </c>
      <c r="F16" s="5">
        <f t="shared" si="2"/>
        <v>450</v>
      </c>
      <c r="G16" s="5">
        <f t="shared" si="0"/>
        <v>380</v>
      </c>
    </row>
    <row r="17" ht="22" customHeight="1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25FA3-D81F-F449-B3B7-97E41AA08550}">
  <dimension ref="A1:G17"/>
  <sheetViews>
    <sheetView zoomScale="50" workbookViewId="0">
      <selection activeCell="D2" sqref="D2:G16"/>
    </sheetView>
  </sheetViews>
  <sheetFormatPr defaultColWidth="51.6328125" defaultRowHeight="17.5"/>
  <cols>
    <col min="1" max="1" width="36.6328125" style="6" customWidth="1"/>
    <col min="2" max="2" width="65.453125" style="6" customWidth="1"/>
    <col min="3" max="3" width="51.6328125" style="1"/>
    <col min="4" max="7" width="20.36328125" style="4" customWidth="1"/>
    <col min="8" max="8" width="20.36328125" style="1" customWidth="1"/>
    <col min="9" max="16384" width="51.6328125" style="1"/>
  </cols>
  <sheetData>
    <row r="1" spans="1:7">
      <c r="A1" s="6" t="s">
        <v>0</v>
      </c>
      <c r="C1" s="1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ht="71.150000000000006" customHeight="1">
      <c r="C2" s="1" t="s">
        <v>6</v>
      </c>
      <c r="E2" s="4" t="s">
        <v>7</v>
      </c>
      <c r="F2" s="4" t="s">
        <v>8</v>
      </c>
      <c r="G2" s="4" t="s">
        <v>9</v>
      </c>
    </row>
    <row r="3" spans="1:7" ht="290.14999999999998" customHeight="1">
      <c r="A3" s="6" t="s">
        <v>10</v>
      </c>
      <c r="B3" s="6" t="s">
        <v>11</v>
      </c>
      <c r="C3" s="2" t="s">
        <v>12</v>
      </c>
      <c r="D3" s="5">
        <v>2000</v>
      </c>
      <c r="E3" s="5">
        <f>D3*0.95</f>
        <v>1900</v>
      </c>
      <c r="F3" s="5">
        <f>D3*0.9</f>
        <v>1800</v>
      </c>
      <c r="G3" s="5">
        <f>E3*0.8</f>
        <v>1520</v>
      </c>
    </row>
    <row r="4" spans="1:7" ht="191.15" customHeight="1">
      <c r="A4" s="6" t="s">
        <v>13</v>
      </c>
      <c r="B4" s="6" t="s">
        <v>14</v>
      </c>
      <c r="C4" s="2" t="s">
        <v>15</v>
      </c>
      <c r="D4" s="5">
        <v>2400</v>
      </c>
      <c r="E4" s="5">
        <f>D4*0.95</f>
        <v>2280</v>
      </c>
      <c r="F4" s="5">
        <f>D4*0.9</f>
        <v>2160</v>
      </c>
      <c r="G4" s="5">
        <f t="shared" ref="G4:G16" si="0">E4*0.8</f>
        <v>1824</v>
      </c>
    </row>
    <row r="5" spans="1:7" ht="188.15" customHeight="1">
      <c r="A5" s="6" t="s">
        <v>16</v>
      </c>
      <c r="B5" s="6" t="s">
        <v>17</v>
      </c>
      <c r="C5" s="2" t="s">
        <v>18</v>
      </c>
      <c r="D5" s="5">
        <v>3000</v>
      </c>
      <c r="E5" s="5">
        <f>D5*0.95</f>
        <v>2850</v>
      </c>
      <c r="F5" s="5">
        <f>D5*0.9</f>
        <v>2700</v>
      </c>
      <c r="G5" s="5">
        <f t="shared" si="0"/>
        <v>2280</v>
      </c>
    </row>
    <row r="6" spans="1:7" ht="190" customHeight="1">
      <c r="A6" s="6" t="s">
        <v>19</v>
      </c>
      <c r="B6" s="6" t="s">
        <v>20</v>
      </c>
      <c r="C6" s="2" t="s">
        <v>21</v>
      </c>
      <c r="D6" s="5">
        <v>10000</v>
      </c>
      <c r="E6" s="5">
        <f>D6*0.95</f>
        <v>9500</v>
      </c>
      <c r="F6" s="5">
        <f>D6*0.9</f>
        <v>9000</v>
      </c>
      <c r="G6" s="5">
        <f t="shared" si="0"/>
        <v>7600</v>
      </c>
    </row>
    <row r="7" spans="1:7" ht="190" customHeight="1">
      <c r="A7" s="6" t="s">
        <v>22</v>
      </c>
      <c r="B7" s="6" t="s">
        <v>23</v>
      </c>
      <c r="C7" s="2"/>
      <c r="D7" s="5">
        <v>7500</v>
      </c>
      <c r="E7" s="5">
        <f>D7*0.95</f>
        <v>7125</v>
      </c>
      <c r="F7" s="5">
        <f>D7*0.9</f>
        <v>6750</v>
      </c>
      <c r="G7" s="5">
        <f t="shared" si="0"/>
        <v>5700</v>
      </c>
    </row>
    <row r="8" spans="1:7" ht="192" customHeight="1">
      <c r="A8" s="6" t="s">
        <v>24</v>
      </c>
      <c r="B8" s="6" t="s">
        <v>25</v>
      </c>
      <c r="C8" s="2" t="s">
        <v>26</v>
      </c>
      <c r="D8" s="5">
        <v>11000</v>
      </c>
      <c r="E8" s="5">
        <f t="shared" ref="E8:E16" si="1">D8*0.95</f>
        <v>10450</v>
      </c>
      <c r="F8" s="5">
        <f t="shared" ref="F8:F16" si="2">D8*0.9</f>
        <v>9900</v>
      </c>
      <c r="G8" s="5">
        <f t="shared" si="0"/>
        <v>8360</v>
      </c>
    </row>
    <row r="9" spans="1:7" ht="325" customHeight="1">
      <c r="A9" s="6" t="s">
        <v>27</v>
      </c>
      <c r="B9" s="6" t="s">
        <v>28</v>
      </c>
      <c r="C9" s="2" t="s">
        <v>29</v>
      </c>
      <c r="D9" s="5">
        <v>9000</v>
      </c>
      <c r="E9" s="5">
        <f t="shared" si="1"/>
        <v>8550</v>
      </c>
      <c r="F9" s="5">
        <f t="shared" si="2"/>
        <v>8100</v>
      </c>
      <c r="G9" s="5">
        <f t="shared" si="0"/>
        <v>6840</v>
      </c>
    </row>
    <row r="10" spans="1:7" ht="176.15" customHeight="1">
      <c r="A10" s="6" t="s">
        <v>30</v>
      </c>
      <c r="B10" s="6" t="s">
        <v>31</v>
      </c>
      <c r="C10" s="2" t="s">
        <v>32</v>
      </c>
      <c r="D10" s="5">
        <v>17000</v>
      </c>
      <c r="E10" s="5">
        <f t="shared" si="1"/>
        <v>16150</v>
      </c>
      <c r="F10" s="5">
        <f t="shared" si="2"/>
        <v>15300</v>
      </c>
      <c r="G10" s="5">
        <f t="shared" si="0"/>
        <v>12920</v>
      </c>
    </row>
    <row r="11" spans="1:7" ht="176.15" customHeight="1">
      <c r="A11" s="6" t="s">
        <v>33</v>
      </c>
      <c r="B11" s="6" t="s">
        <v>34</v>
      </c>
      <c r="C11" s="2" t="s">
        <v>35</v>
      </c>
      <c r="D11" s="5">
        <v>21000</v>
      </c>
      <c r="E11" s="5">
        <f t="shared" si="1"/>
        <v>19950</v>
      </c>
      <c r="F11" s="5">
        <f t="shared" si="2"/>
        <v>18900</v>
      </c>
      <c r="G11" s="5">
        <f t="shared" si="0"/>
        <v>15960</v>
      </c>
    </row>
    <row r="12" spans="1:7" ht="176.15" customHeight="1">
      <c r="A12" s="6" t="s">
        <v>36</v>
      </c>
      <c r="B12" s="6" t="s">
        <v>37</v>
      </c>
      <c r="C12" s="2" t="s">
        <v>32</v>
      </c>
      <c r="D12" s="5">
        <v>23000</v>
      </c>
      <c r="E12" s="5">
        <f t="shared" si="1"/>
        <v>21850</v>
      </c>
      <c r="F12" s="5">
        <f t="shared" si="2"/>
        <v>20700</v>
      </c>
      <c r="G12" s="5">
        <f t="shared" si="0"/>
        <v>17480</v>
      </c>
    </row>
    <row r="13" spans="1:7" ht="176.15" customHeight="1">
      <c r="A13" s="6" t="s">
        <v>38</v>
      </c>
      <c r="B13" s="6" t="s">
        <v>39</v>
      </c>
      <c r="C13" s="2" t="s">
        <v>35</v>
      </c>
      <c r="D13" s="5">
        <v>27000</v>
      </c>
      <c r="E13" s="5">
        <f t="shared" si="1"/>
        <v>25650</v>
      </c>
      <c r="F13" s="5">
        <f t="shared" si="2"/>
        <v>24300</v>
      </c>
      <c r="G13" s="5">
        <f t="shared" si="0"/>
        <v>20520</v>
      </c>
    </row>
    <row r="14" spans="1:7" ht="159" customHeight="1">
      <c r="A14" s="6" t="s">
        <v>40</v>
      </c>
      <c r="B14" s="6" t="s">
        <v>41</v>
      </c>
      <c r="C14" s="2" t="s">
        <v>42</v>
      </c>
      <c r="D14" s="5">
        <v>4000</v>
      </c>
      <c r="E14" s="5">
        <f t="shared" si="1"/>
        <v>3800</v>
      </c>
      <c r="F14" s="5">
        <f t="shared" si="2"/>
        <v>3600</v>
      </c>
      <c r="G14" s="5">
        <f t="shared" si="0"/>
        <v>3040</v>
      </c>
    </row>
    <row r="15" spans="1:7" ht="143.15" customHeight="1">
      <c r="A15" s="6" t="s">
        <v>43</v>
      </c>
      <c r="B15" s="6" t="s">
        <v>44</v>
      </c>
      <c r="C15" s="2" t="s">
        <v>45</v>
      </c>
      <c r="D15" s="5">
        <v>3500</v>
      </c>
      <c r="E15" s="5">
        <f t="shared" si="1"/>
        <v>3325</v>
      </c>
      <c r="F15" s="5">
        <f t="shared" si="2"/>
        <v>3150</v>
      </c>
      <c r="G15" s="5">
        <f t="shared" si="0"/>
        <v>2660</v>
      </c>
    </row>
    <row r="16" spans="1:7" ht="140.15" customHeight="1">
      <c r="A16" s="6" t="s">
        <v>46</v>
      </c>
      <c r="B16" s="6" t="s">
        <v>47</v>
      </c>
      <c r="C16" s="2" t="s">
        <v>48</v>
      </c>
      <c r="D16" s="5">
        <v>500</v>
      </c>
      <c r="E16" s="5">
        <f t="shared" si="1"/>
        <v>475</v>
      </c>
      <c r="F16" s="5">
        <f t="shared" si="2"/>
        <v>450</v>
      </c>
      <c r="G16" s="5">
        <f t="shared" si="0"/>
        <v>380</v>
      </c>
    </row>
    <row r="17" ht="22" customHeight="1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49EDE-318D-4244-963C-AAB3AB81D04A}">
  <dimension ref="A1:G17"/>
  <sheetViews>
    <sheetView zoomScale="50" workbookViewId="0">
      <selection activeCell="D2" sqref="D2:G16"/>
    </sheetView>
  </sheetViews>
  <sheetFormatPr defaultColWidth="51.6328125" defaultRowHeight="17.5"/>
  <cols>
    <col min="1" max="1" width="36.6328125" style="6" customWidth="1"/>
    <col min="2" max="2" width="65.453125" style="6" customWidth="1"/>
    <col min="3" max="3" width="51.6328125" style="1"/>
    <col min="4" max="7" width="20.36328125" style="4" customWidth="1"/>
    <col min="8" max="8" width="20.36328125" style="1" customWidth="1"/>
    <col min="9" max="16384" width="51.6328125" style="1"/>
  </cols>
  <sheetData>
    <row r="1" spans="1:7">
      <c r="A1" s="6" t="s">
        <v>0</v>
      </c>
      <c r="C1" s="1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ht="71.150000000000006" customHeight="1">
      <c r="C2" s="1" t="s">
        <v>6</v>
      </c>
      <c r="E2" s="4" t="s">
        <v>7</v>
      </c>
      <c r="F2" s="4" t="s">
        <v>8</v>
      </c>
      <c r="G2" s="4" t="s">
        <v>9</v>
      </c>
    </row>
    <row r="3" spans="1:7" ht="290.14999999999998" customHeight="1">
      <c r="A3" s="6" t="s">
        <v>10</v>
      </c>
      <c r="B3" s="6" t="s">
        <v>11</v>
      </c>
      <c r="C3" s="2" t="s">
        <v>12</v>
      </c>
      <c r="D3" s="5">
        <v>2000</v>
      </c>
      <c r="E3" s="5">
        <f>D3*0.95</f>
        <v>1900</v>
      </c>
      <c r="F3" s="5">
        <f>D3*0.9</f>
        <v>1800</v>
      </c>
      <c r="G3" s="5">
        <f>E3*0.8</f>
        <v>1520</v>
      </c>
    </row>
    <row r="4" spans="1:7" ht="191.15" customHeight="1">
      <c r="A4" s="6" t="s">
        <v>13</v>
      </c>
      <c r="B4" s="6" t="s">
        <v>14</v>
      </c>
      <c r="C4" s="2" t="s">
        <v>15</v>
      </c>
      <c r="D4" s="5">
        <v>2400</v>
      </c>
      <c r="E4" s="5">
        <f>D4*0.95</f>
        <v>2280</v>
      </c>
      <c r="F4" s="5">
        <f>D4*0.9</f>
        <v>2160</v>
      </c>
      <c r="G4" s="5">
        <f t="shared" ref="G4:G16" si="0">E4*0.8</f>
        <v>1824</v>
      </c>
    </row>
    <row r="5" spans="1:7" ht="188.15" customHeight="1">
      <c r="A5" s="6" t="s">
        <v>16</v>
      </c>
      <c r="B5" s="6" t="s">
        <v>17</v>
      </c>
      <c r="C5" s="2" t="s">
        <v>18</v>
      </c>
      <c r="D5" s="5">
        <v>3000</v>
      </c>
      <c r="E5" s="5">
        <f>D5*0.95</f>
        <v>2850</v>
      </c>
      <c r="F5" s="5">
        <f>D5*0.9</f>
        <v>2700</v>
      </c>
      <c r="G5" s="5">
        <f t="shared" si="0"/>
        <v>2280</v>
      </c>
    </row>
    <row r="6" spans="1:7" ht="190" customHeight="1">
      <c r="A6" s="6" t="s">
        <v>19</v>
      </c>
      <c r="B6" s="6" t="s">
        <v>20</v>
      </c>
      <c r="C6" s="2" t="s">
        <v>21</v>
      </c>
      <c r="D6" s="5">
        <v>10000</v>
      </c>
      <c r="E6" s="5">
        <f>D6*0.95</f>
        <v>9500</v>
      </c>
      <c r="F6" s="5">
        <f>D6*0.9</f>
        <v>9000</v>
      </c>
      <c r="G6" s="5">
        <f t="shared" si="0"/>
        <v>7600</v>
      </c>
    </row>
    <row r="7" spans="1:7" ht="190" customHeight="1">
      <c r="A7" s="6" t="s">
        <v>22</v>
      </c>
      <c r="B7" s="6" t="s">
        <v>23</v>
      </c>
      <c r="C7" s="2"/>
      <c r="D7" s="5">
        <v>7500</v>
      </c>
      <c r="E7" s="5">
        <f>D7*0.95</f>
        <v>7125</v>
      </c>
      <c r="F7" s="5">
        <f>D7*0.9</f>
        <v>6750</v>
      </c>
      <c r="G7" s="5">
        <f t="shared" si="0"/>
        <v>5700</v>
      </c>
    </row>
    <row r="8" spans="1:7" ht="192" customHeight="1">
      <c r="A8" s="6" t="s">
        <v>24</v>
      </c>
      <c r="B8" s="6" t="s">
        <v>25</v>
      </c>
      <c r="C8" s="2" t="s">
        <v>26</v>
      </c>
      <c r="D8" s="5">
        <v>11000</v>
      </c>
      <c r="E8" s="5">
        <f t="shared" ref="E8:E16" si="1">D8*0.95</f>
        <v>10450</v>
      </c>
      <c r="F8" s="5">
        <f t="shared" ref="F8:F16" si="2">D8*0.9</f>
        <v>9900</v>
      </c>
      <c r="G8" s="5">
        <f t="shared" si="0"/>
        <v>8360</v>
      </c>
    </row>
    <row r="9" spans="1:7" ht="325" customHeight="1">
      <c r="A9" s="6" t="s">
        <v>27</v>
      </c>
      <c r="B9" s="6" t="s">
        <v>28</v>
      </c>
      <c r="C9" s="2" t="s">
        <v>29</v>
      </c>
      <c r="D9" s="5">
        <v>9000</v>
      </c>
      <c r="E9" s="5">
        <f t="shared" si="1"/>
        <v>8550</v>
      </c>
      <c r="F9" s="5">
        <f t="shared" si="2"/>
        <v>8100</v>
      </c>
      <c r="G9" s="5">
        <f t="shared" si="0"/>
        <v>6840</v>
      </c>
    </row>
    <row r="10" spans="1:7" ht="176.15" customHeight="1">
      <c r="A10" s="6" t="s">
        <v>30</v>
      </c>
      <c r="B10" s="6" t="s">
        <v>31</v>
      </c>
      <c r="C10" s="2" t="s">
        <v>32</v>
      </c>
      <c r="D10" s="5">
        <v>17000</v>
      </c>
      <c r="E10" s="5">
        <f t="shared" si="1"/>
        <v>16150</v>
      </c>
      <c r="F10" s="5">
        <f t="shared" si="2"/>
        <v>15300</v>
      </c>
      <c r="G10" s="5">
        <f t="shared" si="0"/>
        <v>12920</v>
      </c>
    </row>
    <row r="11" spans="1:7" ht="176.15" customHeight="1">
      <c r="A11" s="6" t="s">
        <v>33</v>
      </c>
      <c r="B11" s="6" t="s">
        <v>34</v>
      </c>
      <c r="C11" s="2" t="s">
        <v>35</v>
      </c>
      <c r="D11" s="5">
        <v>21000</v>
      </c>
      <c r="E11" s="5">
        <f t="shared" si="1"/>
        <v>19950</v>
      </c>
      <c r="F11" s="5">
        <f t="shared" si="2"/>
        <v>18900</v>
      </c>
      <c r="G11" s="5">
        <f t="shared" si="0"/>
        <v>15960</v>
      </c>
    </row>
    <row r="12" spans="1:7" ht="176.15" customHeight="1">
      <c r="A12" s="6" t="s">
        <v>36</v>
      </c>
      <c r="B12" s="6" t="s">
        <v>37</v>
      </c>
      <c r="C12" s="2" t="s">
        <v>32</v>
      </c>
      <c r="D12" s="5">
        <v>23000</v>
      </c>
      <c r="E12" s="5">
        <f t="shared" si="1"/>
        <v>21850</v>
      </c>
      <c r="F12" s="5">
        <f t="shared" si="2"/>
        <v>20700</v>
      </c>
      <c r="G12" s="5">
        <f t="shared" si="0"/>
        <v>17480</v>
      </c>
    </row>
    <row r="13" spans="1:7" ht="176.15" customHeight="1">
      <c r="A13" s="6" t="s">
        <v>38</v>
      </c>
      <c r="B13" s="6" t="s">
        <v>39</v>
      </c>
      <c r="C13" s="2" t="s">
        <v>35</v>
      </c>
      <c r="D13" s="5">
        <v>27000</v>
      </c>
      <c r="E13" s="5">
        <f t="shared" si="1"/>
        <v>25650</v>
      </c>
      <c r="F13" s="5">
        <f t="shared" si="2"/>
        <v>24300</v>
      </c>
      <c r="G13" s="5">
        <f t="shared" si="0"/>
        <v>20520</v>
      </c>
    </row>
    <row r="14" spans="1:7" ht="159" customHeight="1">
      <c r="A14" s="6" t="s">
        <v>40</v>
      </c>
      <c r="B14" s="6" t="s">
        <v>41</v>
      </c>
      <c r="C14" s="2" t="s">
        <v>42</v>
      </c>
      <c r="D14" s="5">
        <v>4000</v>
      </c>
      <c r="E14" s="5">
        <f t="shared" si="1"/>
        <v>3800</v>
      </c>
      <c r="F14" s="5">
        <f t="shared" si="2"/>
        <v>3600</v>
      </c>
      <c r="G14" s="5">
        <f t="shared" si="0"/>
        <v>3040</v>
      </c>
    </row>
    <row r="15" spans="1:7" ht="143.15" customHeight="1">
      <c r="A15" s="6" t="s">
        <v>43</v>
      </c>
      <c r="B15" s="6" t="s">
        <v>44</v>
      </c>
      <c r="C15" s="2" t="s">
        <v>45</v>
      </c>
      <c r="D15" s="5">
        <v>3500</v>
      </c>
      <c r="E15" s="5">
        <f t="shared" si="1"/>
        <v>3325</v>
      </c>
      <c r="F15" s="5">
        <f t="shared" si="2"/>
        <v>3150</v>
      </c>
      <c r="G15" s="5">
        <f t="shared" si="0"/>
        <v>2660</v>
      </c>
    </row>
    <row r="16" spans="1:7" ht="140.15" customHeight="1">
      <c r="A16" s="6" t="s">
        <v>46</v>
      </c>
      <c r="B16" s="6" t="s">
        <v>47</v>
      </c>
      <c r="C16" s="2" t="s">
        <v>48</v>
      </c>
      <c r="D16" s="5">
        <v>500</v>
      </c>
      <c r="E16" s="5">
        <f t="shared" si="1"/>
        <v>475</v>
      </c>
      <c r="F16" s="5">
        <f t="shared" si="2"/>
        <v>450</v>
      </c>
      <c r="G16" s="5">
        <f t="shared" si="0"/>
        <v>380</v>
      </c>
    </row>
    <row r="17" ht="22" customHeight="1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1B85-675A-2A44-ADE0-348D4E218926}">
  <dimension ref="A1:G17"/>
  <sheetViews>
    <sheetView zoomScale="50" workbookViewId="0">
      <selection activeCell="D2" sqref="D2:G16"/>
    </sheetView>
  </sheetViews>
  <sheetFormatPr defaultColWidth="51.6328125" defaultRowHeight="17.5"/>
  <cols>
    <col min="1" max="1" width="36.6328125" style="6" customWidth="1"/>
    <col min="2" max="2" width="65.453125" style="6" customWidth="1"/>
    <col min="3" max="3" width="51.6328125" style="1"/>
    <col min="4" max="7" width="20.36328125" style="4" customWidth="1"/>
    <col min="8" max="8" width="20.36328125" style="1" customWidth="1"/>
    <col min="9" max="16384" width="51.6328125" style="1"/>
  </cols>
  <sheetData>
    <row r="1" spans="1:7">
      <c r="A1" s="6" t="s">
        <v>0</v>
      </c>
      <c r="C1" s="1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ht="71.150000000000006" customHeight="1">
      <c r="C2" s="1" t="s">
        <v>6</v>
      </c>
      <c r="E2" s="4" t="s">
        <v>7</v>
      </c>
      <c r="F2" s="4" t="s">
        <v>8</v>
      </c>
      <c r="G2" s="4" t="s">
        <v>9</v>
      </c>
    </row>
    <row r="3" spans="1:7" ht="290.14999999999998" customHeight="1">
      <c r="A3" s="6" t="s">
        <v>10</v>
      </c>
      <c r="B3" s="6" t="s">
        <v>11</v>
      </c>
      <c r="C3" s="2" t="s">
        <v>12</v>
      </c>
      <c r="D3" s="5">
        <v>2000</v>
      </c>
      <c r="E3" s="5">
        <f>D3*0.95</f>
        <v>1900</v>
      </c>
      <c r="F3" s="5">
        <f>D3*0.9</f>
        <v>1800</v>
      </c>
      <c r="G3" s="5">
        <f>E3*0.8</f>
        <v>1520</v>
      </c>
    </row>
    <row r="4" spans="1:7" ht="191.15" customHeight="1">
      <c r="A4" s="6" t="s">
        <v>13</v>
      </c>
      <c r="B4" s="6" t="s">
        <v>14</v>
      </c>
      <c r="C4" s="2" t="s">
        <v>15</v>
      </c>
      <c r="D4" s="5">
        <v>2400</v>
      </c>
      <c r="E4" s="5">
        <f>D4*0.95</f>
        <v>2280</v>
      </c>
      <c r="F4" s="5">
        <f>D4*0.9</f>
        <v>2160</v>
      </c>
      <c r="G4" s="5">
        <f t="shared" ref="G4:G16" si="0">E4*0.8</f>
        <v>1824</v>
      </c>
    </row>
    <row r="5" spans="1:7" ht="188.15" customHeight="1">
      <c r="A5" s="6" t="s">
        <v>16</v>
      </c>
      <c r="B5" s="6" t="s">
        <v>17</v>
      </c>
      <c r="C5" s="2" t="s">
        <v>18</v>
      </c>
      <c r="D5" s="5">
        <v>3000</v>
      </c>
      <c r="E5" s="5">
        <f>D5*0.95</f>
        <v>2850</v>
      </c>
      <c r="F5" s="5">
        <f>D5*0.9</f>
        <v>2700</v>
      </c>
      <c r="G5" s="5">
        <f t="shared" si="0"/>
        <v>2280</v>
      </c>
    </row>
    <row r="6" spans="1:7" ht="190" customHeight="1">
      <c r="A6" s="6" t="s">
        <v>19</v>
      </c>
      <c r="B6" s="6" t="s">
        <v>20</v>
      </c>
      <c r="C6" s="2" t="s">
        <v>21</v>
      </c>
      <c r="D6" s="5">
        <v>10000</v>
      </c>
      <c r="E6" s="5">
        <f>D6*0.95</f>
        <v>9500</v>
      </c>
      <c r="F6" s="5">
        <f>D6*0.9</f>
        <v>9000</v>
      </c>
      <c r="G6" s="5">
        <f t="shared" si="0"/>
        <v>7600</v>
      </c>
    </row>
    <row r="7" spans="1:7" ht="190" customHeight="1">
      <c r="A7" s="6" t="s">
        <v>22</v>
      </c>
      <c r="B7" s="6" t="s">
        <v>23</v>
      </c>
      <c r="C7" s="2"/>
      <c r="D7" s="5">
        <v>7500</v>
      </c>
      <c r="E7" s="5">
        <f>D7*0.95</f>
        <v>7125</v>
      </c>
      <c r="F7" s="5">
        <f>D7*0.9</f>
        <v>6750</v>
      </c>
      <c r="G7" s="5">
        <f t="shared" si="0"/>
        <v>5700</v>
      </c>
    </row>
    <row r="8" spans="1:7" ht="192" customHeight="1">
      <c r="A8" s="6" t="s">
        <v>24</v>
      </c>
      <c r="B8" s="6" t="s">
        <v>25</v>
      </c>
      <c r="C8" s="2" t="s">
        <v>26</v>
      </c>
      <c r="D8" s="5">
        <v>11000</v>
      </c>
      <c r="E8" s="5">
        <f t="shared" ref="E8:E16" si="1">D8*0.95</f>
        <v>10450</v>
      </c>
      <c r="F8" s="5">
        <f t="shared" ref="F8:F16" si="2">D8*0.9</f>
        <v>9900</v>
      </c>
      <c r="G8" s="5">
        <f t="shared" si="0"/>
        <v>8360</v>
      </c>
    </row>
    <row r="9" spans="1:7" ht="325" customHeight="1">
      <c r="A9" s="6" t="s">
        <v>27</v>
      </c>
      <c r="B9" s="6" t="s">
        <v>28</v>
      </c>
      <c r="C9" s="2" t="s">
        <v>29</v>
      </c>
      <c r="D9" s="5">
        <v>9000</v>
      </c>
      <c r="E9" s="5">
        <f t="shared" si="1"/>
        <v>8550</v>
      </c>
      <c r="F9" s="5">
        <f t="shared" si="2"/>
        <v>8100</v>
      </c>
      <c r="G9" s="5">
        <f t="shared" si="0"/>
        <v>6840</v>
      </c>
    </row>
    <row r="10" spans="1:7" ht="176.15" customHeight="1">
      <c r="A10" s="6" t="s">
        <v>30</v>
      </c>
      <c r="B10" s="6" t="s">
        <v>31</v>
      </c>
      <c r="C10" s="2" t="s">
        <v>32</v>
      </c>
      <c r="D10" s="5">
        <v>17000</v>
      </c>
      <c r="E10" s="5">
        <f t="shared" si="1"/>
        <v>16150</v>
      </c>
      <c r="F10" s="5">
        <f t="shared" si="2"/>
        <v>15300</v>
      </c>
      <c r="G10" s="5">
        <f t="shared" si="0"/>
        <v>12920</v>
      </c>
    </row>
    <row r="11" spans="1:7" ht="176.15" customHeight="1">
      <c r="A11" s="6" t="s">
        <v>33</v>
      </c>
      <c r="B11" s="6" t="s">
        <v>34</v>
      </c>
      <c r="C11" s="2" t="s">
        <v>35</v>
      </c>
      <c r="D11" s="5">
        <v>21000</v>
      </c>
      <c r="E11" s="5">
        <f t="shared" si="1"/>
        <v>19950</v>
      </c>
      <c r="F11" s="5">
        <f t="shared" si="2"/>
        <v>18900</v>
      </c>
      <c r="G11" s="5">
        <f t="shared" si="0"/>
        <v>15960</v>
      </c>
    </row>
    <row r="12" spans="1:7" ht="176.15" customHeight="1">
      <c r="A12" s="6" t="s">
        <v>36</v>
      </c>
      <c r="B12" s="6" t="s">
        <v>37</v>
      </c>
      <c r="C12" s="2" t="s">
        <v>32</v>
      </c>
      <c r="D12" s="5">
        <v>23000</v>
      </c>
      <c r="E12" s="5">
        <f t="shared" si="1"/>
        <v>21850</v>
      </c>
      <c r="F12" s="5">
        <f t="shared" si="2"/>
        <v>20700</v>
      </c>
      <c r="G12" s="5">
        <f t="shared" si="0"/>
        <v>17480</v>
      </c>
    </row>
    <row r="13" spans="1:7" ht="176.15" customHeight="1">
      <c r="A13" s="6" t="s">
        <v>38</v>
      </c>
      <c r="B13" s="6" t="s">
        <v>39</v>
      </c>
      <c r="C13" s="2" t="s">
        <v>35</v>
      </c>
      <c r="D13" s="5">
        <v>27000</v>
      </c>
      <c r="E13" s="5">
        <f t="shared" si="1"/>
        <v>25650</v>
      </c>
      <c r="F13" s="5">
        <f t="shared" si="2"/>
        <v>24300</v>
      </c>
      <c r="G13" s="5">
        <f t="shared" si="0"/>
        <v>20520</v>
      </c>
    </row>
    <row r="14" spans="1:7" ht="159" customHeight="1">
      <c r="A14" s="6" t="s">
        <v>40</v>
      </c>
      <c r="B14" s="6" t="s">
        <v>41</v>
      </c>
      <c r="C14" s="2" t="s">
        <v>42</v>
      </c>
      <c r="D14" s="5">
        <v>4000</v>
      </c>
      <c r="E14" s="5">
        <f t="shared" si="1"/>
        <v>3800</v>
      </c>
      <c r="F14" s="5">
        <f t="shared" si="2"/>
        <v>3600</v>
      </c>
      <c r="G14" s="5">
        <f t="shared" si="0"/>
        <v>3040</v>
      </c>
    </row>
    <row r="15" spans="1:7" ht="143.15" customHeight="1">
      <c r="A15" s="6" t="s">
        <v>43</v>
      </c>
      <c r="B15" s="6" t="s">
        <v>44</v>
      </c>
      <c r="C15" s="2" t="s">
        <v>45</v>
      </c>
      <c r="D15" s="5">
        <v>3500</v>
      </c>
      <c r="E15" s="5">
        <f t="shared" si="1"/>
        <v>3325</v>
      </c>
      <c r="F15" s="5">
        <f t="shared" si="2"/>
        <v>3150</v>
      </c>
      <c r="G15" s="5">
        <f t="shared" si="0"/>
        <v>2660</v>
      </c>
    </row>
    <row r="16" spans="1:7" ht="140.15" customHeight="1">
      <c r="A16" s="6" t="s">
        <v>46</v>
      </c>
      <c r="B16" s="6" t="s">
        <v>47</v>
      </c>
      <c r="C16" s="2" t="s">
        <v>48</v>
      </c>
      <c r="D16" s="5">
        <v>500</v>
      </c>
      <c r="E16" s="5">
        <f t="shared" si="1"/>
        <v>475</v>
      </c>
      <c r="F16" s="5">
        <f t="shared" si="2"/>
        <v>450</v>
      </c>
      <c r="G16" s="5">
        <f t="shared" si="0"/>
        <v>380</v>
      </c>
    </row>
    <row r="17" ht="22" customHeight="1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C6812-3781-3442-A46D-363839B73F04}">
  <dimension ref="A1:B44"/>
  <sheetViews>
    <sheetView zoomScale="182" workbookViewId="0">
      <selection activeCell="E13" sqref="E13"/>
    </sheetView>
  </sheetViews>
  <sheetFormatPr defaultColWidth="10.90625" defaultRowHeight="15"/>
  <cols>
    <col min="1" max="1" width="17.90625" style="3" customWidth="1"/>
    <col min="2" max="2" width="23.453125" style="3" customWidth="1"/>
    <col min="3" max="3" width="11.36328125" style="3" customWidth="1"/>
    <col min="4" max="16384" width="10.90625" style="3"/>
  </cols>
  <sheetData>
    <row r="1" spans="1:2">
      <c r="A1" s="7" t="s">
        <v>49</v>
      </c>
      <c r="B1" s="7"/>
    </row>
    <row r="2" spans="1:2">
      <c r="A2" s="3" t="s">
        <v>50</v>
      </c>
      <c r="B2" s="3">
        <v>10000</v>
      </c>
    </row>
    <row r="3" spans="1:2">
      <c r="A3" s="3" t="s">
        <v>51</v>
      </c>
      <c r="B3" s="3">
        <v>8000</v>
      </c>
    </row>
    <row r="4" spans="1:2">
      <c r="A4" s="3" t="s">
        <v>52</v>
      </c>
      <c r="B4" s="3">
        <f>B2+B3</f>
        <v>18000</v>
      </c>
    </row>
    <row r="5" spans="1:2">
      <c r="A5" s="3" t="s">
        <v>53</v>
      </c>
      <c r="B5" s="3">
        <f>B4*0.93</f>
        <v>16740</v>
      </c>
    </row>
    <row r="7" spans="1:2">
      <c r="A7" s="7" t="s">
        <v>54</v>
      </c>
      <c r="B7" s="7"/>
    </row>
    <row r="8" spans="1:2">
      <c r="A8" s="3" t="s">
        <v>55</v>
      </c>
      <c r="B8" s="3">
        <v>14000</v>
      </c>
    </row>
    <row r="9" spans="1:2">
      <c r="A9" s="3" t="s">
        <v>56</v>
      </c>
      <c r="B9" s="3">
        <f>1800*4</f>
        <v>7200</v>
      </c>
    </row>
    <row r="10" spans="1:2">
      <c r="A10" s="3" t="s">
        <v>52</v>
      </c>
      <c r="B10" s="3">
        <f>B8+B9</f>
        <v>21200</v>
      </c>
    </row>
    <row r="11" spans="1:2">
      <c r="A11" s="3" t="s">
        <v>53</v>
      </c>
      <c r="B11" s="3">
        <f>B10*0.88</f>
        <v>18656</v>
      </c>
    </row>
    <row r="13" spans="1:2">
      <c r="A13" s="7" t="s">
        <v>57</v>
      </c>
      <c r="B13" s="7"/>
    </row>
    <row r="14" spans="1:2">
      <c r="A14" s="3" t="s">
        <v>55</v>
      </c>
      <c r="B14" s="3">
        <v>14000</v>
      </c>
    </row>
    <row r="15" spans="1:2">
      <c r="A15" s="3" t="s">
        <v>58</v>
      </c>
      <c r="B15" s="3">
        <f>1800*12</f>
        <v>21600</v>
      </c>
    </row>
    <row r="16" spans="1:2">
      <c r="A16" s="3" t="s">
        <v>52</v>
      </c>
      <c r="B16" s="3">
        <f>B14+B15</f>
        <v>35600</v>
      </c>
    </row>
    <row r="17" spans="1:2">
      <c r="A17" s="3" t="s">
        <v>53</v>
      </c>
      <c r="B17" s="3">
        <f>B16*0.88</f>
        <v>31328</v>
      </c>
    </row>
    <row r="19" spans="1:2">
      <c r="A19" s="7" t="s">
        <v>59</v>
      </c>
      <c r="B19" s="7"/>
    </row>
    <row r="20" spans="1:2">
      <c r="A20" s="3" t="s">
        <v>60</v>
      </c>
      <c r="B20" s="3">
        <v>18000</v>
      </c>
    </row>
    <row r="21" spans="1:2">
      <c r="A21" s="3" t="s">
        <v>56</v>
      </c>
      <c r="B21" s="3">
        <f>1800*4</f>
        <v>7200</v>
      </c>
    </row>
    <row r="22" spans="1:2">
      <c r="A22" s="3" t="s">
        <v>52</v>
      </c>
      <c r="B22" s="3">
        <f>B20+B21</f>
        <v>25200</v>
      </c>
    </row>
    <row r="23" spans="1:2">
      <c r="A23" s="3" t="s">
        <v>53</v>
      </c>
      <c r="B23" s="3">
        <f>B22*0.88</f>
        <v>22176</v>
      </c>
    </row>
    <row r="25" spans="1:2">
      <c r="A25" s="7" t="s">
        <v>61</v>
      </c>
      <c r="B25" s="7"/>
    </row>
    <row r="26" spans="1:2">
      <c r="A26" s="3" t="s">
        <v>60</v>
      </c>
      <c r="B26" s="3">
        <v>18000</v>
      </c>
    </row>
    <row r="27" spans="1:2">
      <c r="A27" s="3" t="s">
        <v>58</v>
      </c>
      <c r="B27" s="3">
        <f>1800*12</f>
        <v>21600</v>
      </c>
    </row>
    <row r="28" spans="1:2">
      <c r="A28" s="3" t="s">
        <v>52</v>
      </c>
      <c r="B28" s="3">
        <f>B26+B27</f>
        <v>39600</v>
      </c>
    </row>
    <row r="29" spans="1:2">
      <c r="A29" s="3" t="s">
        <v>53</v>
      </c>
      <c r="B29" s="3">
        <f>B28*0.88</f>
        <v>34848</v>
      </c>
    </row>
    <row r="31" spans="1:2">
      <c r="A31" s="7"/>
      <c r="B31" s="7"/>
    </row>
    <row r="37" spans="1:2">
      <c r="A37" s="7"/>
      <c r="B37" s="7"/>
    </row>
    <row r="44" spans="1:2">
      <c r="A44" s="7"/>
      <c r="B44" s="7"/>
    </row>
  </sheetData>
  <mergeCells count="8">
    <mergeCell ref="A25:B25"/>
    <mergeCell ref="A31:B31"/>
    <mergeCell ref="A37:B37"/>
    <mergeCell ref="A44:B44"/>
    <mergeCell ref="A1:B1"/>
    <mergeCell ref="A7:B7"/>
    <mergeCell ref="A13:B13"/>
    <mergeCell ref="A19:B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報價單S尺寸</vt:lpstr>
      <vt:lpstr>報價單Ｍ尺寸</vt:lpstr>
      <vt:lpstr>報價單L尺寸</vt:lpstr>
      <vt:lpstr>報價單XL尺寸</vt:lpstr>
      <vt:lpstr>報價單2XL尺寸</vt:lpstr>
      <vt:lpstr>套裝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40號 劉之筠</dc:creator>
  <cp:keywords/>
  <dc:description/>
  <cp:lastModifiedBy>40號 劉之筠</cp:lastModifiedBy>
  <cp:revision/>
  <dcterms:created xsi:type="dcterms:W3CDTF">2026-03-18T07:06:21Z</dcterms:created>
  <dcterms:modified xsi:type="dcterms:W3CDTF">2026-06-06T03:27:49Z</dcterms:modified>
  <cp:category/>
  <cp:contentStatus/>
</cp:coreProperties>
</file>